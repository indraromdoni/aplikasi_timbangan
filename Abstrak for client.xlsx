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dra\Project\Timbangan\"/>
    </mc:Choice>
  </mc:AlternateContent>
  <xr:revisionPtr revIDLastSave="0" documentId="13_ncr:1_{969CFF8B-D254-4ADA-9445-E4E97A9EC6F0}" xr6:coauthVersionLast="47" xr6:coauthVersionMax="47" xr10:uidLastSave="{00000000-0000-0000-0000-000000000000}"/>
  <bookViews>
    <workbookView xWindow="-108" yWindow="-108" windowWidth="23256" windowHeight="12456" xr2:uid="{EA5867F3-AF81-4CE7-9A85-2A0A4927896A}"/>
  </bookViews>
  <sheets>
    <sheet name="Sheet1" sheetId="1" r:id="rId1"/>
    <sheet name="Estimas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2" l="1"/>
</calcChain>
</file>

<file path=xl/sharedStrings.xml><?xml version="1.0" encoding="utf-8"?>
<sst xmlns="http://schemas.openxmlformats.org/spreadsheetml/2006/main" count="50" uniqueCount="44">
  <si>
    <t>Master Data</t>
  </si>
  <si>
    <t>Produk</t>
  </si>
  <si>
    <t>Berat wadah</t>
  </si>
  <si>
    <t>Kolom</t>
  </si>
  <si>
    <t>nomor, nama</t>
  </si>
  <si>
    <t>nomor, nama, berat</t>
  </si>
  <si>
    <t>Database</t>
  </si>
  <si>
    <t>Software</t>
  </si>
  <si>
    <t>Input</t>
  </si>
  <si>
    <t>Form Produk</t>
  </si>
  <si>
    <t>Form Berat wadah</t>
  </si>
  <si>
    <t>Hasil timbang</t>
  </si>
  <si>
    <t>nomor, nama, tugas</t>
  </si>
  <si>
    <t>Operator</t>
  </si>
  <si>
    <t>nomor, tanggal, waktu, nama wadah, nama produk, berat kotor, berat net, nama penimbang, nama sopir, no. polisi, nama supplier</t>
  </si>
  <si>
    <t>Form data operator</t>
  </si>
  <si>
    <t>Form hasil timbang</t>
  </si>
  <si>
    <t>Output</t>
  </si>
  <si>
    <t>Table data operator</t>
  </si>
  <si>
    <t>Table nama produk</t>
  </si>
  <si>
    <t>Table berat wadah</t>
  </si>
  <si>
    <t>Print out</t>
  </si>
  <si>
    <t>Database connection, insert query, fetch query, data table API</t>
  </si>
  <si>
    <t>Back end</t>
  </si>
  <si>
    <t>Front end</t>
  </si>
  <si>
    <t>Bootsrap, modal, datatable</t>
  </si>
  <si>
    <t>Database connection, insert query, fetch query, serial com, websocket</t>
  </si>
  <si>
    <t>Bootstrap, websocket, custom format print out A5</t>
  </si>
  <si>
    <t>Garis besar</t>
  </si>
  <si>
    <t>Proses penimbangan</t>
  </si>
  <si>
    <t>Task</t>
  </si>
  <si>
    <t>No.</t>
  </si>
  <si>
    <t>Jumlah</t>
  </si>
  <si>
    <t>Unit</t>
  </si>
  <si>
    <t>Table</t>
  </si>
  <si>
    <t>fungsi</t>
  </si>
  <si>
    <t>database</t>
  </si>
  <si>
    <t>front end</t>
  </si>
  <si>
    <t>halaman</t>
  </si>
  <si>
    <t>Item</t>
  </si>
  <si>
    <t>Estimasi</t>
  </si>
  <si>
    <t>Biaya</t>
  </si>
  <si>
    <t>Total</t>
  </si>
  <si>
    <t>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</si>
</sst>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p&quot;* #,##0.00_-;\-&quot;Rp&quot;* #,##0.00_-;_-&quot;Rp&quot;* &quot;-&quot;??_-;_-@_-"/>
    <numFmt numFmtId="164" formatCode="_-[$Rp-3809]* #,##0.00_-;\-[$Rp-3809]* #,##0.00_-;_-[$Rp-3809]* &quot;-&quot;??_-;_-@_-"/>
    <numFmt numFmtId="166" formatCode="0&quot; hari&quot;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0" borderId="0" xfId="0" applyFont="1"/>
    <xf numFmtId="164" fontId="0" fillId="0" borderId="0" xfId="0" applyNumberFormat="1"/>
    <xf numFmtId="44" fontId="0" fillId="0" borderId="0" xfId="1" applyFont="1"/>
    <xf numFmtId="0" fontId="0" fillId="0" borderId="0" xfId="0" applyAlignment="1">
      <alignment horizontal="right"/>
    </xf>
    <xf numFmtId="166" fontId="0" fillId="0" borderId="0" xfId="0" applyNumberFormat="1"/>
  </cellXfs>
  <cellStyles count="2">
    <cellStyle name="Currency" xfId="1" builtinId="4"/>
    <cellStyle name="Normal" xfId="0" builtinId="0"/>
  </cellStyles>
  <dxfs count="5">
    <dxf>
      <numFmt numFmtId="166" formatCode="0&quot; hari&quot;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45719</xdr:colOff>
      <xdr:row>16</xdr:row>
      <xdr:rowOff>7620</xdr:rowOff>
    </xdr:from>
    <xdr:to>
      <xdr:col>2</xdr:col>
      <xdr:colOff>3096650</xdr:colOff>
      <xdr:row>21</xdr:row>
      <xdr:rowOff>129540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564860-0B60-B04E-2D3E-681AD22AA9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19" y="4762500"/>
          <a:ext cx="5420751" cy="1036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2</xdr:col>
      <xdr:colOff>3147060</xdr:colOff>
      <xdr:row>37</xdr:row>
      <xdr:rowOff>13208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2EB5132-87A9-5DEB-1CCB-FF44F248C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17920"/>
          <a:ext cx="5516880" cy="23906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37ACFA-5216-465F-9B32-BAA453F17A38}" name="Table1" displayName="Table1" ref="A2:B6" totalsRowShown="0" headerRowDxfId="4" dataDxfId="3">
  <autoFilter ref="A2:B6" xr:uid="{9C37ACFA-5216-465F-9B32-BAA453F17A38}"/>
  <tableColumns count="2">
    <tableColumn id="1" xr3:uid="{E62BDB45-EF7C-44B8-A9A1-574D58C1A448}" name="Master Data" dataDxfId="2"/>
    <tableColumn id="2" xr3:uid="{3AD0E2A7-EA45-4178-9C19-198CF5BBD51E}" name="Kolom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657A9B3-3DCE-40DF-852A-29CD1BCA56CA}" name="Table2" displayName="Table2" ref="A10:D14" totalsRowShown="0">
  <autoFilter ref="A10:D14" xr:uid="{4657A9B3-3DCE-40DF-852A-29CD1BCA56CA}"/>
  <tableColumns count="4">
    <tableColumn id="1" xr3:uid="{3CC96262-D564-481D-9FD3-3DDD3FB790C4}" name="Input"/>
    <tableColumn id="2" xr3:uid="{E3B28C9E-7E10-4A75-B577-86512CBB3E6A}" name="Output"/>
    <tableColumn id="3" xr3:uid="{8AFE21BE-8E42-49E8-B6E9-BF8E4E838BBD}" name="Back end"/>
    <tableColumn id="4" xr3:uid="{E288FDDE-EF46-43EE-80F4-F3E2D525883A}" name="Front en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3CE702-9E0C-4B2C-BD18-E4980968EF9C}" name="Table3" displayName="Table3" ref="A39:D42" totalsRowShown="0">
  <autoFilter ref="A39:D42" xr:uid="{323CE702-9E0C-4B2C-BD18-E4980968EF9C}"/>
  <tableColumns count="4">
    <tableColumn id="1" xr3:uid="{41B13CAF-31C0-4D19-87F5-04373EBA187D}" name="No."/>
    <tableColumn id="2" xr3:uid="{D8C8A2A1-4DEF-427C-8B26-CA4E695F4083}" name="Task"/>
    <tableColumn id="3" xr3:uid="{31EE5355-65FD-45D7-9122-BD486B95A81D}" name="Jumlah"/>
    <tableColumn id="4" xr3:uid="{67281D2F-B0F9-4763-8A84-845CF292ED5B}" name="Uni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4E607BE-2FBE-4F10-B305-C78570990D1D}" name="Table4" displayName="Table4" ref="A2:E3" totalsRowShown="0">
  <autoFilter ref="A2:E3" xr:uid="{E4E607BE-2FBE-4F10-B305-C78570990D1D}"/>
  <tableColumns count="5">
    <tableColumn id="1" xr3:uid="{A06CC90F-0345-48AA-A99F-45E51B5BDB22}" name="No."/>
    <tableColumn id="2" xr3:uid="{250CF9DF-AC9A-41F8-A9CF-488FA5BC3D10}" name="Item"/>
    <tableColumn id="3" xr3:uid="{C0FDCBF5-3B14-4E97-B2C2-02CBFFFE4E2E}" name="Estimasi" dataDxfId="0"/>
    <tableColumn id="4" xr3:uid="{49072B62-A5B5-4F1A-8499-B09FD965866B}" name="Biaya" dataCellStyle="Currency"/>
    <tableColumn id="5" xr3:uid="{C3ABB1CE-6828-4986-A9DF-A1DFEA2CB953}" name="Total" dataCellStyle="Currency">
      <calculatedColumnFormula>C3*D3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622CC-1B8A-4EC5-9888-84FE0781CC73}">
  <dimension ref="A1:F47"/>
  <sheetViews>
    <sheetView tabSelected="1" topLeftCell="A8" workbookViewId="0">
      <selection activeCell="D44" sqref="D44:F47"/>
    </sheetView>
  </sheetViews>
  <sheetFormatPr defaultRowHeight="14.4" x14ac:dyDescent="0.3"/>
  <cols>
    <col min="1" max="1" width="17.21875" bestFit="1" customWidth="1"/>
    <col min="2" max="2" width="17.33203125" bestFit="1" customWidth="1"/>
    <col min="3" max="3" width="59" bestFit="1" customWidth="1"/>
    <col min="4" max="4" width="42.6640625" bestFit="1" customWidth="1"/>
    <col min="6" max="6" width="15" bestFit="1" customWidth="1"/>
  </cols>
  <sheetData>
    <row r="1" spans="1:4" x14ac:dyDescent="0.3">
      <c r="A1" s="3" t="s">
        <v>6</v>
      </c>
    </row>
    <row r="2" spans="1:4" x14ac:dyDescent="0.3">
      <c r="A2" s="1" t="s">
        <v>0</v>
      </c>
      <c r="B2" s="1" t="s">
        <v>3</v>
      </c>
    </row>
    <row r="3" spans="1:4" x14ac:dyDescent="0.3">
      <c r="A3" s="1" t="s">
        <v>13</v>
      </c>
      <c r="B3" s="1" t="s">
        <v>12</v>
      </c>
    </row>
    <row r="4" spans="1:4" x14ac:dyDescent="0.3">
      <c r="A4" s="1" t="s">
        <v>1</v>
      </c>
      <c r="B4" s="1" t="s">
        <v>4</v>
      </c>
    </row>
    <row r="5" spans="1:4" x14ac:dyDescent="0.3">
      <c r="A5" s="1" t="s">
        <v>2</v>
      </c>
      <c r="B5" s="1" t="s">
        <v>5</v>
      </c>
    </row>
    <row r="6" spans="1:4" ht="129.6" x14ac:dyDescent="0.3">
      <c r="A6" s="1" t="s">
        <v>11</v>
      </c>
      <c r="B6" s="2" t="s">
        <v>14</v>
      </c>
    </row>
    <row r="9" spans="1:4" x14ac:dyDescent="0.3">
      <c r="A9" s="3" t="s">
        <v>7</v>
      </c>
    </row>
    <row r="10" spans="1:4" x14ac:dyDescent="0.3">
      <c r="A10" t="s">
        <v>8</v>
      </c>
      <c r="B10" t="s">
        <v>17</v>
      </c>
      <c r="C10" t="s">
        <v>23</v>
      </c>
      <c r="D10" t="s">
        <v>24</v>
      </c>
    </row>
    <row r="11" spans="1:4" x14ac:dyDescent="0.3">
      <c r="A11" t="s">
        <v>15</v>
      </c>
      <c r="B11" t="s">
        <v>18</v>
      </c>
      <c r="C11" t="s">
        <v>22</v>
      </c>
      <c r="D11" t="s">
        <v>25</v>
      </c>
    </row>
    <row r="12" spans="1:4" x14ac:dyDescent="0.3">
      <c r="A12" t="s">
        <v>9</v>
      </c>
      <c r="B12" t="s">
        <v>19</v>
      </c>
      <c r="C12" t="s">
        <v>22</v>
      </c>
      <c r="D12" t="s">
        <v>25</v>
      </c>
    </row>
    <row r="13" spans="1:4" x14ac:dyDescent="0.3">
      <c r="A13" t="s">
        <v>10</v>
      </c>
      <c r="B13" t="s">
        <v>20</v>
      </c>
      <c r="C13" t="s">
        <v>22</v>
      </c>
      <c r="D13" t="s">
        <v>25</v>
      </c>
    </row>
    <row r="14" spans="1:4" x14ac:dyDescent="0.3">
      <c r="A14" t="s">
        <v>16</v>
      </c>
      <c r="B14" t="s">
        <v>21</v>
      </c>
      <c r="C14" t="s">
        <v>26</v>
      </c>
      <c r="D14" t="s">
        <v>27</v>
      </c>
    </row>
    <row r="16" spans="1:4" x14ac:dyDescent="0.3">
      <c r="A16" s="3" t="s">
        <v>28</v>
      </c>
    </row>
    <row r="24" spans="1:1" x14ac:dyDescent="0.3">
      <c r="A24" s="3" t="s">
        <v>29</v>
      </c>
    </row>
    <row r="39" spans="1:6" x14ac:dyDescent="0.3">
      <c r="A39" t="s">
        <v>31</v>
      </c>
      <c r="B39" t="s">
        <v>30</v>
      </c>
      <c r="C39" t="s">
        <v>32</v>
      </c>
      <c r="D39" t="s">
        <v>33</v>
      </c>
    </row>
    <row r="40" spans="1:6" x14ac:dyDescent="0.3">
      <c r="A40">
        <v>1</v>
      </c>
      <c r="B40" t="s">
        <v>36</v>
      </c>
      <c r="C40">
        <v>4</v>
      </c>
      <c r="D40" t="s">
        <v>34</v>
      </c>
    </row>
    <row r="41" spans="1:6" x14ac:dyDescent="0.3">
      <c r="A41">
        <v>2</v>
      </c>
      <c r="B41" t="s">
        <v>23</v>
      </c>
      <c r="C41">
        <v>8</v>
      </c>
      <c r="D41" t="s">
        <v>35</v>
      </c>
    </row>
    <row r="42" spans="1:6" x14ac:dyDescent="0.3">
      <c r="A42">
        <v>3</v>
      </c>
      <c r="B42" t="s">
        <v>37</v>
      </c>
      <c r="C42">
        <v>5</v>
      </c>
      <c r="D42" t="s">
        <v>38</v>
      </c>
    </row>
    <row r="44" spans="1:6" x14ac:dyDescent="0.3">
      <c r="F44" s="5"/>
    </row>
    <row r="45" spans="1:6" x14ac:dyDescent="0.3">
      <c r="D45" s="6"/>
      <c r="F45" s="4"/>
    </row>
    <row r="46" spans="1:6" x14ac:dyDescent="0.3">
      <c r="F46" s="4"/>
    </row>
    <row r="47" spans="1:6" x14ac:dyDescent="0.3">
      <c r="F47" s="4"/>
    </row>
  </sheetData>
  <pageMargins left="0.7" right="0.7" top="0.75" bottom="0.75" header="0.3" footer="0.3"/>
  <pageSetup paperSize="9" orientation="portrait" horizontalDpi="0" verticalDpi="0" r:id="rId1"/>
  <drawing r:id="rId2"/>
  <tableParts count="3"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E5878-89F5-42A6-BBD9-E882322D9164}">
  <dimension ref="A2:E3"/>
  <sheetViews>
    <sheetView workbookViewId="0">
      <selection activeCell="J14" sqref="J14"/>
    </sheetView>
  </sheetViews>
  <sheetFormatPr defaultRowHeight="14.4" x14ac:dyDescent="0.3"/>
  <cols>
    <col min="1" max="1" width="5.88671875" customWidth="1"/>
    <col min="2" max="2" width="11.88671875" bestFit="1" customWidth="1"/>
    <col min="3" max="3" width="9.6640625" customWidth="1"/>
    <col min="4" max="4" width="13.5546875" bestFit="1" customWidth="1"/>
    <col min="5" max="5" width="15" bestFit="1" customWidth="1"/>
  </cols>
  <sheetData>
    <row r="2" spans="1:5" x14ac:dyDescent="0.3">
      <c r="A2" t="s">
        <v>31</v>
      </c>
      <c r="B2" t="s">
        <v>39</v>
      </c>
      <c r="C2" t="s">
        <v>40</v>
      </c>
      <c r="D2" t="s">
        <v>41</v>
      </c>
      <c r="E2" t="s">
        <v>42</v>
      </c>
    </row>
    <row r="3" spans="1:5" x14ac:dyDescent="0.3">
      <c r="A3">
        <v>1</v>
      </c>
      <c r="B3" t="s">
        <v>43</v>
      </c>
      <c r="C3" s="7">
        <v>18</v>
      </c>
      <c r="D3" s="5">
        <v>520202</v>
      </c>
      <c r="E3" s="5">
        <f>C3*D3</f>
        <v>9363636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Estimasi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yunia noerhayani</dc:creator>
  <cp:lastModifiedBy>yunia noerhayani</cp:lastModifiedBy>
  <dcterms:created xsi:type="dcterms:W3CDTF">2025-10-30T14:05:14Z</dcterms:created>
  <dcterms:modified xsi:type="dcterms:W3CDTF">2025-11-01T05:10:35Z</dcterms:modified>
</cp:coreProperties>
</file>